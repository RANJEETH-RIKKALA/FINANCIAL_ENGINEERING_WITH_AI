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meeci-my.sharepoint.com/personal/rrikkala_kksp_com/Documents/Documents/Ranjeeth_Rikkala_Documents/"/>
    </mc:Choice>
  </mc:AlternateContent>
  <xr:revisionPtr revIDLastSave="96" documentId="8_{3657E517-64CB-47A0-997D-BB1860727977}" xr6:coauthVersionLast="47" xr6:coauthVersionMax="47" xr10:uidLastSave="{9A0B955D-30BA-47E5-A3EF-E6DD5926794B}"/>
  <bookViews>
    <workbookView xWindow="28680" yWindow="-135" windowWidth="29040" windowHeight="15720" xr2:uid="{B9E55388-C4F7-48C1-9564-3CE9FE785426}"/>
  </bookViews>
  <sheets>
    <sheet name="2025 so far" sheetId="1" r:id="rId1"/>
    <sheet name="2024 Rewa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2" i="1" s="1"/>
  <c r="K8" i="1"/>
  <c r="B8" i="1"/>
  <c r="F2" i="2"/>
  <c r="F5" i="2"/>
  <c r="D3" i="2"/>
  <c r="I1" i="2"/>
  <c r="B4" i="2"/>
  <c r="C6" i="2"/>
  <c r="D6" i="2" s="1"/>
  <c r="E6" i="2" s="1"/>
  <c r="C5" i="2"/>
  <c r="D5" i="2" s="1"/>
  <c r="E5" i="2" s="1"/>
  <c r="D4" i="2"/>
  <c r="E4" i="2" s="1"/>
  <c r="C4" i="2"/>
  <c r="E3" i="2"/>
  <c r="C3" i="2"/>
  <c r="E2" i="2"/>
  <c r="D2" i="2"/>
  <c r="C2" i="2"/>
  <c r="C3" i="1"/>
  <c r="E3" i="1" s="1"/>
  <c r="F3" i="1" s="1"/>
  <c r="C4" i="1"/>
  <c r="E4" i="1" s="1"/>
  <c r="F4" i="1" s="1"/>
  <c r="C5" i="1"/>
  <c r="E5" i="1" s="1"/>
  <c r="F5" i="1" s="1"/>
  <c r="C6" i="1"/>
  <c r="E6" i="1" s="1"/>
  <c r="F6" i="1" s="1"/>
  <c r="C2" i="1"/>
  <c r="E2" i="1" s="1"/>
  <c r="F2" i="1" s="1"/>
  <c r="D3" i="1" l="1"/>
  <c r="D6" i="1"/>
  <c r="D5" i="1"/>
  <c r="D4" i="1"/>
  <c r="B11" i="1"/>
  <c r="C8" i="1"/>
  <c r="C11" i="1" s="1"/>
  <c r="C12" i="1" s="1"/>
  <c r="J1" i="1"/>
  <c r="G5" i="1"/>
  <c r="G8" i="1" s="1"/>
  <c r="G11" i="1" s="1"/>
  <c r="G12" i="1" s="1"/>
  <c r="F8" i="1"/>
  <c r="F11" i="1" s="1"/>
  <c r="F12" i="1" s="1"/>
  <c r="E8" i="1"/>
  <c r="E11" i="1" s="1"/>
  <c r="E12" i="1" s="1"/>
  <c r="B12" i="1" l="1"/>
</calcChain>
</file>

<file path=xl/sharedStrings.xml><?xml version="1.0" encoding="utf-8"?>
<sst xmlns="http://schemas.openxmlformats.org/spreadsheetml/2006/main" count="19" uniqueCount="12">
  <si>
    <t>Cash Back Rate</t>
  </si>
  <si>
    <t>Reward Amount</t>
  </si>
  <si>
    <t>Actual Spend</t>
  </si>
  <si>
    <t>Apple Card</t>
  </si>
  <si>
    <t>Difference</t>
  </si>
  <si>
    <t>Total Benefit</t>
  </si>
  <si>
    <t>Executive Membership</t>
  </si>
  <si>
    <t>TOTALS</t>
  </si>
  <si>
    <t>AVG per Day</t>
  </si>
  <si>
    <t>Annual Estimate</t>
  </si>
  <si>
    <t>Days</t>
  </si>
  <si>
    <t>Projected Annual Spned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</si>
</sst>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44" fontId="0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4" fontId="3" fillId="0" borderId="2" xfId="1" applyFont="1" applyBorder="1" applyAlignment="1">
      <alignment horizontal="left" vertical="center"/>
    </xf>
    <xf numFmtId="44" fontId="3" fillId="0" borderId="3" xfId="1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4" fontId="0" fillId="0" borderId="5" xfId="1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4" fontId="0" fillId="0" borderId="7" xfId="1" applyFont="1" applyBorder="1" applyAlignment="1">
      <alignment horizontal="left" vertical="center"/>
    </xf>
    <xf numFmtId="44" fontId="0" fillId="0" borderId="8" xfId="1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4" fontId="0" fillId="0" borderId="10" xfId="1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" fontId="0" fillId="0" borderId="12" xfId="1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44B1C-3EDE-4B88-B16C-0A2E4004DCE5}" name="Table1" displayName="Table1" ref="A1:G6" totalsRowShown="0">
  <autoFilter ref="A1:G6" xr:uid="{0EB44B1C-3EDE-4B88-B16C-0A2E4004DCE5}"/>
  <tableColumns count="7">
    <tableColumn id="1" xr3:uid="{7689511E-FA25-42DD-80CB-4551D63D2EDF}" name="Cash Back Rate" dataDxfId="12"/>
    <tableColumn id="2" xr3:uid="{A2325B10-E7F9-428B-9219-1AEAD5E19CEB}" name="Reward Amount" dataDxfId="11" dataCellStyle="Currency"/>
    <tableColumn id="3" xr3:uid="{88E0FA9E-94BC-4200-A138-5526E1848471}" name="Actual Spend" dataDxfId="10" dataCellStyle="Currency">
      <calculatedColumnFormula>B2/A2</calculatedColumnFormula>
    </tableColumn>
    <tableColumn id="7" xr3:uid="{29F9F77B-B476-42E7-A094-1E38630B8D63}" name="Projected Annual Spned" dataDxfId="0" dataCellStyle="Currency">
      <calculatedColumnFormula>(Table1[[#This Row],[Actual Spend]]/$B$10)*356</calculatedColumnFormula>
    </tableColumn>
    <tableColumn id="4" xr3:uid="{A86EF87C-1689-4A8A-B005-8C1DA8D2646D}" name="Apple Card" dataDxfId="9">
      <calculatedColumnFormula>C2*0.02</calculatedColumnFormula>
    </tableColumn>
    <tableColumn id="5" xr3:uid="{71ACB6FA-7EBD-4AAE-8FB3-9427C030B851}" name="Difference" dataDxfId="8">
      <calculatedColumnFormula>B2-E2</calculatedColumnFormula>
    </tableColumn>
    <tableColumn id="6" xr3:uid="{CBC9836F-F222-4F24-8600-F631B3F477E5}" name="Executive Membership" dataDxfId="7">
      <calculatedColumnFormula>Table1[[#This Row],[Actual Spend]]*0.02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ABF6C-1D1D-40C9-91DB-6454F356C264}" name="Table13" displayName="Table13" ref="A1:F6" totalsRowShown="0">
  <autoFilter ref="A1:F6" xr:uid="{8FEABF6C-1D1D-40C9-91DB-6454F356C264}"/>
  <tableColumns count="6">
    <tableColumn id="1" xr3:uid="{FA8F38B2-B4CC-47F8-A53A-C1B0BD9809DF}" name="Cash Back Rate" dataDxfId="6"/>
    <tableColumn id="2" xr3:uid="{11DBAD88-3909-4B3B-B690-C2BD6AEAEFEE}" name="Reward Amount" dataDxfId="5" dataCellStyle="Currency"/>
    <tableColumn id="3" xr3:uid="{87A066CB-E31B-4EFD-927E-C22515DF5349}" name="Actual Spend" dataDxfId="4" dataCellStyle="Currency">
      <calculatedColumnFormula>B2/A2</calculatedColumnFormula>
    </tableColumn>
    <tableColumn id="4" xr3:uid="{8F4D913E-F4FA-414C-B124-7830275A2316}" name="Apple Card" dataDxfId="3">
      <calculatedColumnFormula>C2*0.02</calculatedColumnFormula>
    </tableColumn>
    <tableColumn id="5" xr3:uid="{531D9036-3B5D-44E2-83E2-964E0919124E}" name="Difference" dataDxfId="2">
      <calculatedColumnFormula>B2-D2</calculatedColumnFormula>
    </tableColumn>
    <tableColumn id="6" xr3:uid="{0D9347A4-7A9A-47D5-B98A-05E1F899D1B3}" name="Executive Membership" dataDxfId="1">
      <calculatedColumnFormula>Table13[[#This Row],[Actual Spend]]*0.02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0405-1C91-4EDD-B3C5-1E60E9902388}">
  <dimension ref="A1:K12"/>
  <sheetViews>
    <sheetView tabSelected="1" workbookViewId="0">
      <selection activeCell="Q3" sqref="Q3"/>
    </sheetView>
  </sheetViews>
  <sheetFormatPr defaultRowHeight="15" x14ac:dyDescent="0.25"/>
  <cols>
    <col min="1" max="1" width="16.85546875" style="1" customWidth="1"/>
    <col min="2" max="2" width="18.7109375" style="3" customWidth="1"/>
    <col min="3" max="3" width="16.28515625" style="3" customWidth="1"/>
    <col min="4" max="4" width="26.5703125" style="3" bestFit="1" customWidth="1"/>
    <col min="5" max="5" width="31.85546875" style="7" bestFit="1" customWidth="1"/>
    <col min="6" max="6" width="12.85546875" customWidth="1"/>
    <col min="7" max="7" width="24.28515625" bestFit="1" customWidth="1"/>
    <col min="9" max="9" width="11.85546875" bestFit="1" customWidth="1"/>
  </cols>
  <sheetData>
    <row r="1" spans="1:11" x14ac:dyDescent="0.25">
      <c r="A1" s="4" t="s">
        <v>0</v>
      </c>
      <c r="B1" s="5" t="s">
        <v>1</v>
      </c>
      <c r="C1" s="5" t="s">
        <v>2</v>
      </c>
      <c r="D1" s="5" t="s">
        <v>11</v>
      </c>
      <c r="E1" s="7" t="s">
        <v>3</v>
      </c>
      <c r="F1" t="s">
        <v>4</v>
      </c>
      <c r="G1" t="s">
        <v>6</v>
      </c>
      <c r="I1" t="s">
        <v>5</v>
      </c>
      <c r="J1" s="6">
        <f>SUM(F2:F6)-60</f>
        <v>-66.312666666666672</v>
      </c>
    </row>
    <row r="2" spans="1:11" x14ac:dyDescent="0.25">
      <c r="A2" s="2">
        <v>0.05</v>
      </c>
      <c r="B2" s="3">
        <v>22.94</v>
      </c>
      <c r="C2" s="3">
        <f>B2/A2</f>
        <v>458.8</v>
      </c>
      <c r="D2" s="3">
        <f ca="1">(Table1[[#This Row],[Actual Spend]]/$B$10)*356</f>
        <v>648.14603174603178</v>
      </c>
      <c r="E2" s="8">
        <f>C2*0.02</f>
        <v>9.1760000000000002</v>
      </c>
      <c r="F2" s="6">
        <f>B2-E2</f>
        <v>13.764000000000001</v>
      </c>
      <c r="G2" s="6"/>
    </row>
    <row r="3" spans="1:11" x14ac:dyDescent="0.25">
      <c r="A3" s="2">
        <v>0.04</v>
      </c>
      <c r="B3" s="3">
        <v>10.26</v>
      </c>
      <c r="C3" s="3">
        <f t="shared" ref="C3:C6" si="0">B3/A3</f>
        <v>256.5</v>
      </c>
      <c r="D3" s="3">
        <f ca="1">(Table1[[#This Row],[Actual Spend]]/$B$10)*356</f>
        <v>362.35714285714283</v>
      </c>
      <c r="E3" s="8">
        <f t="shared" ref="E3:E6" si="1">C3*0.02</f>
        <v>5.13</v>
      </c>
      <c r="F3" s="6">
        <f t="shared" ref="F3:F6" si="2">B3-E3</f>
        <v>5.13</v>
      </c>
      <c r="G3" s="6"/>
    </row>
    <row r="4" spans="1:11" x14ac:dyDescent="0.25">
      <c r="A4" s="2">
        <v>0.03</v>
      </c>
      <c r="B4" s="3">
        <v>79.03</v>
      </c>
      <c r="C4" s="3">
        <f t="shared" si="0"/>
        <v>2634.3333333333335</v>
      </c>
      <c r="D4" s="3">
        <f ca="1">(Table1[[#This Row],[Actual Spend]]/$B$10)*356</f>
        <v>3721.5185185185187</v>
      </c>
      <c r="E4" s="8">
        <f t="shared" si="1"/>
        <v>52.686666666666667</v>
      </c>
      <c r="F4" s="6">
        <f t="shared" si="2"/>
        <v>26.343333333333334</v>
      </c>
      <c r="G4" s="6"/>
    </row>
    <row r="5" spans="1:11" x14ac:dyDescent="0.25">
      <c r="A5" s="2">
        <v>0.02</v>
      </c>
      <c r="B5" s="3">
        <v>37.86</v>
      </c>
      <c r="C5" s="3">
        <f t="shared" si="0"/>
        <v>1893</v>
      </c>
      <c r="D5" s="3">
        <f ca="1">(Table1[[#This Row],[Actual Spend]]/$B$10)*356</f>
        <v>2674.2380952380954</v>
      </c>
      <c r="E5" s="8">
        <f t="shared" si="1"/>
        <v>37.86</v>
      </c>
      <c r="F5" s="6">
        <f t="shared" si="2"/>
        <v>0</v>
      </c>
      <c r="G5" s="6">
        <f>Table1[[#This Row],[Actual Spend]]*0.02</f>
        <v>37.86</v>
      </c>
    </row>
    <row r="6" spans="1:11" x14ac:dyDescent="0.25">
      <c r="A6" s="2">
        <v>0.01</v>
      </c>
      <c r="B6" s="3">
        <v>51.55</v>
      </c>
      <c r="C6" s="3">
        <f t="shared" si="0"/>
        <v>5155</v>
      </c>
      <c r="D6" s="3">
        <f ca="1">(Table1[[#This Row],[Actual Spend]]/$B$10)*356</f>
        <v>7282.4603174603171</v>
      </c>
      <c r="E6" s="8">
        <f t="shared" si="1"/>
        <v>103.10000000000001</v>
      </c>
      <c r="F6" s="6">
        <f t="shared" si="2"/>
        <v>-51.550000000000011</v>
      </c>
      <c r="G6" s="6"/>
    </row>
    <row r="7" spans="1:11" ht="15.75" thickBot="1" x14ac:dyDescent="0.3">
      <c r="A7" s="2"/>
    </row>
    <row r="8" spans="1:11" ht="16.5" thickBot="1" x14ac:dyDescent="0.3">
      <c r="A8" s="9" t="s">
        <v>7</v>
      </c>
      <c r="B8" s="10">
        <f>SUM(Table1[Reward Amount])</f>
        <v>201.64</v>
      </c>
      <c r="C8" s="10">
        <f>SUM(Table1[Actual Spend])</f>
        <v>10397.633333333333</v>
      </c>
      <c r="D8" s="10"/>
      <c r="E8" s="10">
        <f>SUM(Table1[Apple Card])</f>
        <v>207.95266666666669</v>
      </c>
      <c r="F8" s="10">
        <f>SUM(Table1[Difference])</f>
        <v>-6.3126666666666722</v>
      </c>
      <c r="G8" s="11">
        <f>SUM(Table1[Executive Membership])</f>
        <v>37.86</v>
      </c>
      <c r="K8">
        <f ca="1">_xlfn.DAYS(TODAY(),DATE(2025,1,1))</f>
        <v>252</v>
      </c>
    </row>
    <row r="9" spans="1:11" ht="15.75" thickBot="1" x14ac:dyDescent="0.3">
      <c r="B9" s="16"/>
      <c r="C9" s="16"/>
      <c r="D9" s="16"/>
      <c r="E9" s="17"/>
      <c r="F9" s="18"/>
      <c r="G9" s="19"/>
    </row>
    <row r="10" spans="1:11" ht="15.75" thickBot="1" x14ac:dyDescent="0.3">
      <c r="A10" s="21" t="s">
        <v>10</v>
      </c>
      <c r="B10" s="22">
        <f ca="1">_xlfn.DAYS(TODAY(),DATE(2025,1,1))</f>
        <v>252</v>
      </c>
      <c r="C10" s="20"/>
      <c r="D10" s="20"/>
      <c r="E10" s="17"/>
      <c r="F10" s="18"/>
      <c r="G10" s="19"/>
    </row>
    <row r="11" spans="1:11" x14ac:dyDescent="0.25">
      <c r="A11" s="12" t="s">
        <v>8</v>
      </c>
      <c r="B11" s="13">
        <f ca="1">B8/$B$10</f>
        <v>0.80015873015873007</v>
      </c>
      <c r="C11" s="13">
        <f t="shared" ref="C11:G11" ca="1" si="3">C8/$B$10</f>
        <v>41.260449735449733</v>
      </c>
      <c r="D11" s="13"/>
      <c r="E11" s="13">
        <f t="shared" ca="1" si="3"/>
        <v>0.82520899470899478</v>
      </c>
      <c r="F11" s="13">
        <f t="shared" ca="1" si="3"/>
        <v>-2.5050264550264573E-2</v>
      </c>
      <c r="G11" s="13">
        <f t="shared" ca="1" si="3"/>
        <v>0.15023809523809523</v>
      </c>
    </row>
    <row r="12" spans="1:11" ht="15.75" thickBot="1" x14ac:dyDescent="0.3">
      <c r="A12" s="14" t="s">
        <v>9</v>
      </c>
      <c r="B12" s="15">
        <f ca="1">B11*356</f>
        <v>284.85650793650791</v>
      </c>
      <c r="C12" s="15">
        <f t="shared" ref="C12:G12" ca="1" si="4">C11*356</f>
        <v>14688.720105820104</v>
      </c>
      <c r="D12" s="15"/>
      <c r="E12" s="15">
        <f t="shared" ca="1" si="4"/>
        <v>293.77440211640214</v>
      </c>
      <c r="F12" s="15">
        <f t="shared" ca="1" si="4"/>
        <v>-8.9178941798941871</v>
      </c>
      <c r="G12" s="15">
        <f t="shared" ca="1" si="4"/>
        <v>53.484761904761903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683D-CF59-4719-A172-71931CA3BB92}">
  <dimension ref="A1:I6"/>
  <sheetViews>
    <sheetView workbookViewId="0">
      <selection activeCell="F7" sqref="F7"/>
    </sheetView>
  </sheetViews>
  <sheetFormatPr defaultRowHeight="15" x14ac:dyDescent="0.25"/>
  <cols>
    <col min="1" max="1" width="17.140625" bestFit="1" customWidth="1"/>
    <col min="2" max="2" width="19" bestFit="1" customWidth="1"/>
    <col min="3" max="3" width="16.5703125" bestFit="1" customWidth="1"/>
    <col min="4" max="4" width="15.42578125" bestFit="1" customWidth="1"/>
    <col min="5" max="5" width="13" bestFit="1" customWidth="1"/>
    <col min="6" max="6" width="24.28515625" bestFit="1" customWidth="1"/>
    <col min="8" max="8" width="11.85546875" bestFit="1" customWidth="1"/>
    <col min="9" max="9" width="8.7109375" bestFit="1" customWidth="1"/>
  </cols>
  <sheetData>
    <row r="1" spans="1:9" x14ac:dyDescent="0.25">
      <c r="A1" s="4" t="s">
        <v>0</v>
      </c>
      <c r="B1" s="5" t="s">
        <v>1</v>
      </c>
      <c r="C1" s="5" t="s">
        <v>2</v>
      </c>
      <c r="D1" s="7" t="s">
        <v>3</v>
      </c>
      <c r="E1" t="s">
        <v>4</v>
      </c>
      <c r="F1" t="s">
        <v>6</v>
      </c>
      <c r="H1" t="s">
        <v>5</v>
      </c>
      <c r="I1" s="6">
        <f>SUM(E2:E6)-60</f>
        <v>-87.736666666666679</v>
      </c>
    </row>
    <row r="2" spans="1:9" x14ac:dyDescent="0.25">
      <c r="A2" s="2">
        <v>0.05</v>
      </c>
      <c r="B2" s="3">
        <v>0</v>
      </c>
      <c r="C2" s="3">
        <f>B2/A2</f>
        <v>0</v>
      </c>
      <c r="D2" s="8">
        <f>C2*0.02</f>
        <v>0</v>
      </c>
      <c r="E2" s="6">
        <f>B2-D2</f>
        <v>0</v>
      </c>
      <c r="F2" s="6">
        <f>Table13[[#This Row],[Actual Spend]]*0.02</f>
        <v>0</v>
      </c>
    </row>
    <row r="3" spans="1:9" x14ac:dyDescent="0.25">
      <c r="A3" s="2">
        <v>0.04</v>
      </c>
      <c r="B3" s="3">
        <v>13.66</v>
      </c>
      <c r="C3" s="3">
        <f t="shared" ref="C3:C6" si="0">B3/A3</f>
        <v>341.5</v>
      </c>
      <c r="D3" s="8">
        <f>C3*0.02</f>
        <v>6.83</v>
      </c>
      <c r="E3" s="6">
        <f t="shared" ref="E3:E6" si="1">B3-D3</f>
        <v>6.83</v>
      </c>
      <c r="F3" s="6"/>
    </row>
    <row r="4" spans="1:9" x14ac:dyDescent="0.25">
      <c r="A4" s="2">
        <v>0.03</v>
      </c>
      <c r="B4" s="3">
        <f>42.24+17.89</f>
        <v>60.13</v>
      </c>
      <c r="C4" s="3">
        <f t="shared" si="0"/>
        <v>2004.3333333333335</v>
      </c>
      <c r="D4" s="8">
        <f t="shared" ref="D3:D6" si="2">C4*0.02</f>
        <v>40.086666666666673</v>
      </c>
      <c r="E4" s="6">
        <f t="shared" si="1"/>
        <v>20.043333333333329</v>
      </c>
      <c r="F4" s="6"/>
    </row>
    <row r="5" spans="1:9" x14ac:dyDescent="0.25">
      <c r="A5" s="2">
        <v>0.02</v>
      </c>
      <c r="B5" s="3">
        <v>33.340000000000003</v>
      </c>
      <c r="C5" s="3">
        <f t="shared" si="0"/>
        <v>1667.0000000000002</v>
      </c>
      <c r="D5" s="8">
        <f t="shared" si="2"/>
        <v>33.340000000000003</v>
      </c>
      <c r="E5" s="6">
        <f t="shared" si="1"/>
        <v>0</v>
      </c>
      <c r="F5" s="6">
        <f>Table13[[#This Row],[Actual Spend]]*0.02</f>
        <v>33.340000000000003</v>
      </c>
    </row>
    <row r="6" spans="1:9" x14ac:dyDescent="0.25">
      <c r="A6" s="2">
        <v>0.01</v>
      </c>
      <c r="B6" s="3">
        <v>54.61</v>
      </c>
      <c r="C6" s="3">
        <f t="shared" si="0"/>
        <v>5461</v>
      </c>
      <c r="D6" s="8">
        <f t="shared" si="2"/>
        <v>109.22</v>
      </c>
      <c r="E6" s="6">
        <f t="shared" si="1"/>
        <v>-54.61</v>
      </c>
      <c r="F6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so far</vt:lpstr>
      <vt:lpstr>2024 Rewards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Ranjeeth Rikkala</dc:creator>
  <cp:lastModifiedBy>Ranjeeth Rikkala</cp:lastModifiedBy>
  <dcterms:created xsi:type="dcterms:W3CDTF">2025-09-10T18:09:55Z</dcterms:created>
  <dcterms:modified xsi:type="dcterms:W3CDTF">2025-09-10T19:19:53Z</dcterms:modified>
</cp:coreProperties>
</file>